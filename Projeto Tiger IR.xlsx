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odrigo.carvalho\Desktop\"/>
    </mc:Choice>
  </mc:AlternateContent>
  <xr:revisionPtr revIDLastSave="0" documentId="13_ncr:1_{DEB6AF21-8BAE-4B6C-9BE7-640E5C2DEF70}" xr6:coauthVersionLast="47" xr6:coauthVersionMax="47" xr10:uidLastSave="{00000000-0000-0000-0000-000000000000}"/>
  <bookViews>
    <workbookView xWindow="23880" yWindow="-120" windowWidth="19440" windowHeight="14880" tabRatio="0" firstSheet="3" activeTab="3" xr2:uid="{21AF5686-43DE-436F-830C-EAB08FC5D1D8}"/>
  </bookViews>
  <sheets>
    <sheet name="TITULAR" sheetId="1" r:id="rId1"/>
    <sheet name="INFORMES" sheetId="2" r:id="rId2"/>
    <sheet name="NOTAS" sheetId="3" r:id="rId3"/>
    <sheet name="TOTAIS" sheetId="6" r:id="rId4"/>
    <sheet name="TABELAS" sheetId="5" state="hidden" r:id="rId5"/>
  </sheets>
  <definedNames>
    <definedName name="_xlchart.v2.0" hidden="1">NOTAS!$C$9:$D$18</definedName>
    <definedName name="_xlchart.v2.1" hidden="1">NOTAS!$E$8</definedName>
    <definedName name="_xlchart.v2.2" hidden="1">NOTAS!$E$9:$E$18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E13" i="6"/>
  <c r="C13" i="6"/>
  <c r="E10" i="6"/>
  <c r="E9" i="6"/>
  <c r="C10" i="6" l="1"/>
  <c r="C9" i="6"/>
</calcChain>
</file>

<file path=xl/sharedStrings.xml><?xml version="1.0" encoding="utf-8"?>
<sst xmlns="http://schemas.openxmlformats.org/spreadsheetml/2006/main" count="120" uniqueCount="95">
  <si>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</si>
  <si>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</si>
  <si>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</si>
  <si>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</si>
  <si>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</si>
  <si>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</si>
  <si>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</si>
  <si>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</si>
  <si>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</si>
  <si>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</si>
  <si>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</si>
  <si>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</si>
  <si>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</si>
  <si>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</si>
  <si>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</si>
  <si>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</si>
  <si>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</si>
  <si>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</si>
  <si>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FELIPE SKYWALKER NOBUNAGA</t>
  </si>
  <si>
    <t>felipe@dio.me</t>
  </si>
  <si>
    <t>Rua Dos limoeiros. R, - Nº 180</t>
  </si>
  <si>
    <t>Rua Dos limoeiros. Ruan, - Nº 180</t>
  </si>
  <si>
    <t>Mia Goth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</si>
  <si>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</si>
  <si>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</si>
  <si>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</si>
  <si>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</si>
  <si>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</si>
  <si>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</si>
  <si>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</si>
  <si>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</si>
  <si>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</si>
  <si>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</si>
  <si>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</si>
  <si>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</si>
  <si>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</si>
  <si>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</si>
  <si>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</si>
  <si>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</si>
  <si>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</si>
  <si>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</si>
  <si>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</si>
  <si>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</si>
  <si>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</si>
  <si>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</si>
  <si>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</si>
  <si>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</si>
  <si>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</si>
  <si>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</si>
  <si>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</si>
  <si>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</si>
  <si>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</si>
  <si>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</si>
  <si>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</si>
  <si>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</si>
  <si>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</si>
  <si>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</si>
  <si>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</si>
  <si>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</si>
  <si>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</si>
  <si>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</si>
  <si>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</si>
  <si>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</si>
  <si>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</si>
  <si>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</si>
  <si>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</si>
  <si>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</si>
  <si>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</si>
  <si>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</si>
  <si>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</si>
  <si>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</si>
  <si>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</si>
  <si>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</si>
  <si>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</si>
  <si>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</si>
  <si>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</si>
  <si>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</si>
  <si>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</si>
  <si>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</si>
  <si>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</si>
  <si>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</si>
  <si>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</si>
  <si>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</si>
  <si>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</si>
  <si>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</si>
  <si>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</si>
  <si>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</si>
  <si>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</si>
  <si>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</si>
  <si>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</si>
  <si>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</si>
  <si>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CNPJ</t>
  </si>
  <si>
    <t>ENTRADAS TOTAIS</t>
  </si>
  <si>
    <t>4. TOTAL DE ENTRADAS RECEITAS</t>
  </si>
  <si>
    <t>Somatório de todos os valores de entrada mês a mês de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</si>
</sst>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  <numFmt numFmtId="170" formatCode="0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b/>
      <sz val="10"/>
      <color theme="4" tint="-0.249977111117893"/>
      <name val="Segoe UI"/>
      <family val="2"/>
    </font>
    <font>
      <sz val="11"/>
      <color theme="4" tint="-0.249977111117893"/>
      <name val="Segoe UI"/>
      <family val="2"/>
    </font>
    <font>
      <sz val="11"/>
      <color theme="4" tint="-0.249977111117893"/>
      <name val="Aptos Narrow"/>
      <family val="2"/>
      <scheme val="minor"/>
    </font>
    <font>
      <b/>
      <sz val="11"/>
      <color theme="4" tint="-0.249977111117893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4" fillId="4" borderId="0" xfId="0" applyFont="1" applyFill="1"/>
    <xf numFmtId="0" fontId="10" fillId="0" borderId="0" xfId="0" applyFont="1"/>
    <xf numFmtId="0" fontId="7" fillId="0" borderId="0" xfId="0" applyFont="1"/>
    <xf numFmtId="0" fontId="13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8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2" fillId="0" borderId="1" xfId="2"/>
    <xf numFmtId="14" fontId="5" fillId="0" borderId="0" xfId="0" applyNumberFormat="1" applyFont="1" applyAlignment="1" applyProtection="1">
      <alignment horizontal="center"/>
      <protection locked="0"/>
    </xf>
    <xf numFmtId="0" fontId="0" fillId="0" borderId="0" xfId="0" applyFill="1"/>
    <xf numFmtId="170" fontId="15" fillId="8" borderId="4" xfId="0" applyNumberFormat="1" applyFont="1" applyFill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168" fontId="15" fillId="8" borderId="4" xfId="0" applyNumberFormat="1" applyFont="1" applyFill="1" applyBorder="1" applyAlignment="1">
      <alignment horizontal="center"/>
    </xf>
    <xf numFmtId="169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8" fontId="15" fillId="0" borderId="0" xfId="0" applyNumberFormat="1" applyFont="1" applyAlignment="1">
      <alignment horizontal="center"/>
    </xf>
    <xf numFmtId="169" fontId="15" fillId="8" borderId="0" xfId="0" applyNumberFormat="1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6" fillId="0" borderId="0" xfId="0" applyFont="1"/>
    <xf numFmtId="0" fontId="14" fillId="0" borderId="0" xfId="0" applyFont="1" applyBorder="1" applyAlignment="1">
      <alignment horizontal="center"/>
    </xf>
    <xf numFmtId="170" fontId="15" fillId="0" borderId="0" xfId="0" applyNumberFormat="1" applyFont="1" applyAlignment="1">
      <alignment horizontal="center"/>
    </xf>
    <xf numFmtId="168" fontId="15" fillId="0" borderId="4" xfId="0" applyNumberFormat="1" applyFont="1" applyFill="1" applyBorder="1" applyAlignment="1">
      <alignment horizontal="center"/>
    </xf>
    <xf numFmtId="168" fontId="15" fillId="7" borderId="4" xfId="0" applyNumberFormat="1" applyFont="1" applyFill="1" applyBorder="1" applyAlignment="1">
      <alignment horizontal="center"/>
    </xf>
    <xf numFmtId="170" fontId="17" fillId="9" borderId="0" xfId="0" applyNumberFormat="1" applyFont="1" applyFill="1" applyAlignment="1">
      <alignment horizontal="center"/>
    </xf>
    <xf numFmtId="0" fontId="17" fillId="9" borderId="0" xfId="0" applyFont="1" applyFill="1" applyAlignment="1">
      <alignment horizontal="center"/>
    </xf>
    <xf numFmtId="168" fontId="17" fillId="9" borderId="0" xfId="0" applyNumberFormat="1" applyFont="1" applyFill="1" applyAlignment="1">
      <alignment horizontal="center"/>
    </xf>
    <xf numFmtId="0" fontId="9" fillId="5" borderId="3" xfId="0" applyFont="1" applyFill="1" applyBorder="1" applyAlignment="1">
      <alignment horizontal="left" vertical="center" indent="3"/>
    </xf>
    <xf numFmtId="0" fontId="9" fillId="7" borderId="3" xfId="0" applyFont="1" applyFill="1" applyBorder="1" applyAlignment="1">
      <alignment horizontal="left" vertical="center" indent="3"/>
    </xf>
    <xf numFmtId="168" fontId="11" fillId="2" borderId="0" xfId="3" applyNumberFormat="1" applyFont="1" applyAlignment="1">
      <alignment horizontal="center"/>
    </xf>
    <xf numFmtId="0" fontId="11" fillId="2" borderId="0" xfId="3" applyFont="1" applyAlignment="1">
      <alignment horizontal="center"/>
    </xf>
    <xf numFmtId="0" fontId="12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Segoe UI"/>
        <family val="2"/>
        <scheme val="none"/>
      </font>
      <numFmt numFmtId="168" formatCode="&quot;R$&quot;\ #,##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NOTAS!$E$8</c:f>
              <c:strCache>
                <c:ptCount val="1"/>
                <c:pt idx="0">
                  <c:v>VALOR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NOTAS!$C$9:$D$18</c:f>
              <c:multiLvlStrCache>
                <c:ptCount val="10"/>
                <c:lvl>
                  <c:pt idx="0">
                    <c:v>HOLERITE</c:v>
                  </c:pt>
                  <c:pt idx="1">
                    <c:v>HOLERITE</c:v>
                  </c:pt>
                  <c:pt idx="2">
                    <c:v>HOLERITE</c:v>
                  </c:pt>
                  <c:pt idx="3">
                    <c:v>HOLERITE</c:v>
                  </c:pt>
                  <c:pt idx="4">
                    <c:v>HOLERITE</c:v>
                  </c:pt>
                  <c:pt idx="5">
                    <c:v>HOLERITE</c:v>
                  </c:pt>
                  <c:pt idx="6">
                    <c:v>HOLERITE</c:v>
                  </c:pt>
                  <c:pt idx="7">
                    <c:v>HOLERITE</c:v>
                  </c:pt>
                  <c:pt idx="8">
                    <c:v>HOLERITE</c:v>
                  </c:pt>
                  <c:pt idx="9">
                    <c:v>CNPJ</c:v>
                  </c:pt>
                </c:lvl>
                <c:lvl>
                  <c:pt idx="0">
                    <c:v>abril-2025</c:v>
                  </c:pt>
                  <c:pt idx="1">
                    <c:v>maio-2025</c:v>
                  </c:pt>
                  <c:pt idx="2">
                    <c:v>junho-2025</c:v>
                  </c:pt>
                  <c:pt idx="3">
                    <c:v>julho-2025</c:v>
                  </c:pt>
                  <c:pt idx="4">
                    <c:v>agosto-2025</c:v>
                  </c:pt>
                  <c:pt idx="5">
                    <c:v>setembro-2025</c:v>
                  </c:pt>
                  <c:pt idx="6">
                    <c:v>outubro-2025</c:v>
                  </c:pt>
                  <c:pt idx="7">
                    <c:v>novembro-2025</c:v>
                  </c:pt>
                  <c:pt idx="8">
                    <c:v>dezembro-2025</c:v>
                  </c:pt>
                  <c:pt idx="9">
                    <c:v>dezembro-2025</c:v>
                  </c:pt>
                </c:lvl>
              </c:multiLvlStrCache>
            </c:multiLvlStrRef>
          </c:cat>
          <c:val>
            <c:numRef>
              <c:f>NOTAS!$E$9:$E$18</c:f>
              <c:numCache>
                <c:formatCode>"R$"\ #,##0.00</c:formatCode>
                <c:ptCount val="10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3000</c:v>
                </c:pt>
                <c:pt idx="8">
                  <c:v>3000</c:v>
                </c:pt>
                <c:pt idx="9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A-4E61-AE0E-55CCA36F6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704255"/>
        <c:axId val="885707999"/>
      </c:lineChart>
      <c:catAx>
        <c:axId val="88570425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5707999"/>
        <c:crosses val="autoZero"/>
        <c:auto val="1"/>
        <c:lblAlgn val="ctr"/>
        <c:lblOffset val="100"/>
        <c:noMultiLvlLbl val="0"/>
      </c:catAx>
      <c:valAx>
        <c:axId val="88570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570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shade val="5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/>
        </cx:txData>
      </cx:tx>
      <cx:spPr>
        <a:solidFill>
          <a:schemeClr val="tx2">
            <a:lumMod val="25000"/>
            <a:lumOff val="75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plotSurface>
          <cx:spPr>
            <a:noFill/>
          </cx:spPr>
        </cx:plotSurface>
        <cx:series layoutId="funnel" uniqueId="{9F7E6A2B-578A-4F27-AF5C-EC9A17C417AE}">
          <cx:tx>
            <cx:txData>
              <cx:f>_xlchart.v2.1</cx:f>
              <cx:v>VALOR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  <a:ln w="28575" cap="rnd">
              <a:solidFill>
                <a:schemeClr val="accent1">
                  <a:lumMod val="40000"/>
                  <a:lumOff val="60000"/>
                </a:schemeClr>
              </a:solidFill>
            </a:ln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300000012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pt-BR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spPr>
    <a:ln>
      <a:solidFill>
        <a:schemeClr val="accent1">
          <a:shade val="50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TOTAI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odrigo27carvalho/" TargetMode="Externa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TOTAI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rodrigo27carvalho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rodrigo27carvalho/" TargetMode="External"/><Relationship Id="rId7" Type="http://schemas.openxmlformats.org/officeDocument/2006/relationships/hyperlink" Target="#TOTAIS!C1"/><Relationship Id="rId2" Type="http://schemas.openxmlformats.org/officeDocument/2006/relationships/hyperlink" Target="#INFORMES!C1"/><Relationship Id="rId1" Type="http://schemas.openxmlformats.org/officeDocument/2006/relationships/hyperlink" Target="#TITULAR!A1"/><Relationship Id="rId6" Type="http://schemas.openxmlformats.org/officeDocument/2006/relationships/hyperlink" Target="#NOTAS!C1"/><Relationship Id="rId5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hyperlink" Target="https://www.linkedin.com/in/rodrigo27carvalho/" TargetMode="External"/><Relationship Id="rId7" Type="http://schemas.microsoft.com/office/2014/relationships/chartEx" Target="../charts/chartEx1.xml"/><Relationship Id="rId2" Type="http://schemas.openxmlformats.org/officeDocument/2006/relationships/hyperlink" Target="#INFORMES!C1"/><Relationship Id="rId1" Type="http://schemas.openxmlformats.org/officeDocument/2006/relationships/hyperlink" Target="#TITULAR!A1"/><Relationship Id="rId6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image" Target="../media/image3.png"/><Relationship Id="rId9" Type="http://schemas.openxmlformats.org/officeDocument/2006/relationships/hyperlink" Target="#TOTAI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  <a:latin typeface="Arial Black" panose="020B0A04020102020204" pitchFamily="34" charset="0"/>
            </a:rPr>
            <a:t>TIGER IR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180974</xdr:rowOff>
    </xdr:from>
    <xdr:to>
      <xdr:col>0</xdr:col>
      <xdr:colOff>2016125</xdr:colOff>
      <xdr:row>9</xdr:row>
      <xdr:rowOff>131761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2550" y="1676399"/>
          <a:ext cx="1933575" cy="369887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70C0">
                <a:shade val="30000"/>
                <a:satMod val="115000"/>
              </a:srgbClr>
            </a:gs>
            <a:gs pos="50000">
              <a:srgbClr val="0070C0">
                <a:shade val="67500"/>
                <a:satMod val="115000"/>
              </a:srgbClr>
            </a:gs>
            <a:gs pos="100000">
              <a:srgbClr val="0070C0">
                <a:shade val="100000"/>
                <a:satMod val="115000"/>
              </a:srgb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55563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9638"/>
          <a:ext cx="19367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149225</xdr:rowOff>
    </xdr:from>
    <xdr:to>
      <xdr:col>0</xdr:col>
      <xdr:colOff>2019300</xdr:colOff>
      <xdr:row>14</xdr:row>
      <xdr:rowOff>153987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2400"/>
          <a:ext cx="1933575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244475</xdr:colOff>
      <xdr:row>17</xdr:row>
      <xdr:rowOff>153987</xdr:rowOff>
    </xdr:from>
    <xdr:to>
      <xdr:col>0</xdr:col>
      <xdr:colOff>1819276</xdr:colOff>
      <xdr:row>20</xdr:row>
      <xdr:rowOff>20637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44475" y="3744912"/>
          <a:ext cx="1574801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266700</xdr:colOff>
      <xdr:row>17</xdr:row>
      <xdr:rowOff>180975</xdr:rowOff>
    </xdr:from>
    <xdr:to>
      <xdr:col>0</xdr:col>
      <xdr:colOff>1819275</xdr:colOff>
      <xdr:row>17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66700" y="3771900"/>
          <a:ext cx="1552575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95250</xdr:rowOff>
    </xdr:to>
    <xdr:sp macro="" textlink="">
      <xdr:nvSpPr>
        <xdr:cNvPr id="1026" name="AutoShape 2" descr="Blue Tiger Logo PNG Transparent Images Free Download | Vector Files |  Pngtree">
          <a:extLst>
            <a:ext uri="{FF2B5EF4-FFF2-40B4-BE49-F238E27FC236}">
              <a16:creationId xmlns:a16="http://schemas.microsoft.com/office/drawing/2014/main" id="{DB2E8116-2DC3-4E68-96B8-85FF606D31DD}"/>
            </a:ext>
          </a:extLst>
        </xdr:cNvPr>
        <xdr:cNvSpPr>
          <a:spLocks noChangeAspect="1" noChangeArrowheads="1"/>
        </xdr:cNvSpPr>
      </xdr:nvSpPr>
      <xdr:spPr bwMode="auto">
        <a:xfrm>
          <a:off x="11534775" y="107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11</xdr:row>
      <xdr:rowOff>95250</xdr:rowOff>
    </xdr:to>
    <xdr:sp macro="" textlink="">
      <xdr:nvSpPr>
        <xdr:cNvPr id="1028" name="AutoShape 4" descr="Blue Tiger Logo PNG Transparent Images Free Download | Vector Files |  Pngtree">
          <a:extLst>
            <a:ext uri="{FF2B5EF4-FFF2-40B4-BE49-F238E27FC236}">
              <a16:creationId xmlns:a16="http://schemas.microsoft.com/office/drawing/2014/main" id="{9B655B10-E269-4AEA-A847-AFD4F66E0863}"/>
            </a:ext>
          </a:extLst>
        </xdr:cNvPr>
        <xdr:cNvSpPr>
          <a:spLocks noChangeAspect="1" noChangeArrowheads="1"/>
        </xdr:cNvSpPr>
      </xdr:nvSpPr>
      <xdr:spPr bwMode="auto">
        <a:xfrm>
          <a:off x="10848975" y="21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11</xdr:row>
      <xdr:rowOff>95250</xdr:rowOff>
    </xdr:to>
    <xdr:sp macro="" textlink="">
      <xdr:nvSpPr>
        <xdr:cNvPr id="1032" name="AutoShape 8" descr="Um Tigre Azul Com Fundo Que Diz PNG , Um Tigre Azul Com Fundo Azul, Isso  Diz Tigre, Desenho Animado PNG Imagem para download gratuito">
          <a:extLst>
            <a:ext uri="{FF2B5EF4-FFF2-40B4-BE49-F238E27FC236}">
              <a16:creationId xmlns:a16="http://schemas.microsoft.com/office/drawing/2014/main" id="{107D3A7E-F2CA-49D3-A308-AB1663946EBC}"/>
            </a:ext>
          </a:extLst>
        </xdr:cNvPr>
        <xdr:cNvSpPr>
          <a:spLocks noChangeAspect="1" noChangeArrowheads="1"/>
        </xdr:cNvSpPr>
      </xdr:nvSpPr>
      <xdr:spPr bwMode="auto">
        <a:xfrm>
          <a:off x="10848975" y="21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95250</xdr:rowOff>
    </xdr:to>
    <xdr:sp macro="" textlink="">
      <xdr:nvSpPr>
        <xdr:cNvPr id="1033" name="AutoShape 9" descr="Um Tigre Azul Com Fundo Que Diz PNG , Um Tigre Azul Com Fundo Azul, Isso  Diz Tigre, Desenho Animado PNG Imagem para download gratuito">
          <a:extLst>
            <a:ext uri="{FF2B5EF4-FFF2-40B4-BE49-F238E27FC236}">
              <a16:creationId xmlns:a16="http://schemas.microsoft.com/office/drawing/2014/main" id="{2E7D8274-4D62-475B-88D7-970D5FDE3D81}"/>
            </a:ext>
          </a:extLst>
        </xdr:cNvPr>
        <xdr:cNvSpPr>
          <a:spLocks noChangeAspect="1" noChangeArrowheads="1"/>
        </xdr:cNvSpPr>
      </xdr:nvSpPr>
      <xdr:spPr bwMode="auto">
        <a:xfrm>
          <a:off x="10848975" y="27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95250</xdr:rowOff>
    </xdr:to>
    <xdr:sp macro="" textlink="">
      <xdr:nvSpPr>
        <xdr:cNvPr id="1037" name="AutoShape 13" descr="Logotipo De Tigre De Cabeça Azul Com Elemento Relâmpago PNG , E Sports  Logo, Cabeça De Tigre, Logotipo PNG Imagem para download gratuito">
          <a:extLst>
            <a:ext uri="{FF2B5EF4-FFF2-40B4-BE49-F238E27FC236}">
              <a16:creationId xmlns:a16="http://schemas.microsoft.com/office/drawing/2014/main" id="{D8FEE7B0-0FD2-4FA4-87A1-F3A89719D7F1}"/>
            </a:ext>
          </a:extLst>
        </xdr:cNvPr>
        <xdr:cNvSpPr>
          <a:spLocks noChangeAspect="1" noChangeArrowheads="1"/>
        </xdr:cNvSpPr>
      </xdr:nvSpPr>
      <xdr:spPr bwMode="auto">
        <a:xfrm>
          <a:off x="10163175" y="338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95250</xdr:rowOff>
    </xdr:to>
    <xdr:sp macro="" textlink="">
      <xdr:nvSpPr>
        <xdr:cNvPr id="1039" name="AutoShape 15" descr="Desenho De Tigre Linha Tecnologia Azul PNG , Desenho De Tigre, Desenho De  Asa, Desenho De Tecnologia Imagem PNG e PSD Para Download Gratuito">
          <a:extLst>
            <a:ext uri="{FF2B5EF4-FFF2-40B4-BE49-F238E27FC236}">
              <a16:creationId xmlns:a16="http://schemas.microsoft.com/office/drawing/2014/main" id="{5E505284-F2EA-4EB9-8612-8BA20C5648F6}"/>
            </a:ext>
          </a:extLst>
        </xdr:cNvPr>
        <xdr:cNvSpPr>
          <a:spLocks noChangeAspect="1" noChangeArrowheads="1"/>
        </xdr:cNvSpPr>
      </xdr:nvSpPr>
      <xdr:spPr bwMode="auto">
        <a:xfrm>
          <a:off x="11534775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25</xdr:row>
      <xdr:rowOff>123825</xdr:rowOff>
    </xdr:to>
    <xdr:sp macro="" textlink="">
      <xdr:nvSpPr>
        <xdr:cNvPr id="1041" name="AutoShape 17" descr="Tigre Azul PNG , Animal De Ilustração Em Aquarela Em Estilo Infantil,  Decoração De Natal, Aquarela De Gato PNG Imagem para download gratuito">
          <a:extLst>
            <a:ext uri="{FF2B5EF4-FFF2-40B4-BE49-F238E27FC236}">
              <a16:creationId xmlns:a16="http://schemas.microsoft.com/office/drawing/2014/main" id="{7942345C-C15C-4448-A236-AD86FCB193F1}"/>
            </a:ext>
          </a:extLst>
        </xdr:cNvPr>
        <xdr:cNvSpPr>
          <a:spLocks noChangeAspect="1" noChangeArrowheads="1"/>
        </xdr:cNvSpPr>
      </xdr:nvSpPr>
      <xdr:spPr bwMode="auto">
        <a:xfrm>
          <a:off x="2962275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428625</xdr:colOff>
      <xdr:row>2</xdr:row>
      <xdr:rowOff>38100</xdr:rowOff>
    </xdr:from>
    <xdr:to>
      <xdr:col>0</xdr:col>
      <xdr:colOff>1628775</xdr:colOff>
      <xdr:row>7</xdr:row>
      <xdr:rowOff>104775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D715D053-03EF-4A1A-8D59-58449417B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400050"/>
          <a:ext cx="1200150" cy="1200150"/>
        </a:xfrm>
        <a:prstGeom prst="rect">
          <a:avLst/>
        </a:prstGeom>
      </xdr:spPr>
    </xdr:pic>
    <xdr:clientData/>
  </xdr:twoCellAnchor>
  <xdr:twoCellAnchor editAs="absolute">
    <xdr:from>
      <xdr:col>0</xdr:col>
      <xdr:colOff>866775</xdr:colOff>
      <xdr:row>19</xdr:row>
      <xdr:rowOff>85725</xdr:rowOff>
    </xdr:from>
    <xdr:to>
      <xdr:col>0</xdr:col>
      <xdr:colOff>1211959</xdr:colOff>
      <xdr:row>21</xdr:row>
      <xdr:rowOff>53975</xdr:rowOff>
    </xdr:to>
    <xdr:pic>
      <xdr:nvPicPr>
        <xdr:cNvPr id="44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03CF083-5376-4639-9771-591D9D937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4095750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76200</xdr:colOff>
      <xdr:row>15</xdr:row>
      <xdr:rowOff>19050</xdr:rowOff>
    </xdr:from>
    <xdr:to>
      <xdr:col>0</xdr:col>
      <xdr:colOff>2012950</xdr:colOff>
      <xdr:row>17</xdr:row>
      <xdr:rowOff>0</xdr:rowOff>
    </xdr:to>
    <xdr:sp macro="" textlink="">
      <xdr:nvSpPr>
        <xdr:cNvPr id="45" name="Retângulo: Cantos Arredondados 4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F4AECFE-85BB-4D7E-A66C-6269DB842DD3}"/>
            </a:ext>
          </a:extLst>
        </xdr:cNvPr>
        <xdr:cNvSpPr/>
      </xdr:nvSpPr>
      <xdr:spPr>
        <a:xfrm>
          <a:off x="76200" y="31908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TOTAIS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TIGER IR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65088</xdr:rowOff>
    </xdr:from>
    <xdr:to>
      <xdr:col>0</xdr:col>
      <xdr:colOff>2019300</xdr:colOff>
      <xdr:row>12</xdr:row>
      <xdr:rowOff>46038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2550" y="2179638"/>
          <a:ext cx="1936750" cy="40005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70C0">
                <a:shade val="30000"/>
                <a:satMod val="115000"/>
              </a:srgbClr>
            </a:gs>
            <a:gs pos="50000">
              <a:srgbClr val="0070C0">
                <a:shade val="67500"/>
                <a:satMod val="115000"/>
              </a:srgbClr>
            </a:gs>
            <a:gs pos="100000">
              <a:srgbClr val="0070C0">
                <a:shade val="100000"/>
                <a:satMod val="115000"/>
              </a:srgb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171450</xdr:rowOff>
    </xdr:from>
    <xdr:to>
      <xdr:col>0</xdr:col>
      <xdr:colOff>2019300</xdr:colOff>
      <xdr:row>14</xdr:row>
      <xdr:rowOff>206375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5725" y="2705100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244475</xdr:colOff>
      <xdr:row>18</xdr:row>
      <xdr:rowOff>44450</xdr:rowOff>
    </xdr:from>
    <xdr:to>
      <xdr:col>0</xdr:col>
      <xdr:colOff>1819276</xdr:colOff>
      <xdr:row>20</xdr:row>
      <xdr:rowOff>101600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44475" y="374967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263525</xdr:colOff>
      <xdr:row>18</xdr:row>
      <xdr:rowOff>63500</xdr:rowOff>
    </xdr:from>
    <xdr:to>
      <xdr:col>0</xdr:col>
      <xdr:colOff>1819275</xdr:colOff>
      <xdr:row>18</xdr:row>
      <xdr:rowOff>63500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63525" y="3768725"/>
          <a:ext cx="15557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863600</xdr:colOff>
      <xdr:row>20</xdr:row>
      <xdr:rowOff>0</xdr:rowOff>
    </xdr:from>
    <xdr:to>
      <xdr:col>0</xdr:col>
      <xdr:colOff>1208784</xdr:colOff>
      <xdr:row>21</xdr:row>
      <xdr:rowOff>120650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4095750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oneCell">
    <xdr:from>
      <xdr:col>0</xdr:col>
      <xdr:colOff>428625</xdr:colOff>
      <xdr:row>2</xdr:row>
      <xdr:rowOff>38100</xdr:rowOff>
    </xdr:from>
    <xdr:to>
      <xdr:col>0</xdr:col>
      <xdr:colOff>1628775</xdr:colOff>
      <xdr:row>7</xdr:row>
      <xdr:rowOff>57150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AF32F44-65C7-4907-A458-481B25110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400050"/>
          <a:ext cx="1200150" cy="1200150"/>
        </a:xfrm>
        <a:prstGeom prst="rect">
          <a:avLst/>
        </a:prstGeom>
      </xdr:spPr>
    </xdr:pic>
    <xdr:clientData/>
  </xdr:twoCellAnchor>
  <xdr:twoCellAnchor editAs="absolute">
    <xdr:from>
      <xdr:col>0</xdr:col>
      <xdr:colOff>73025</xdr:colOff>
      <xdr:row>15</xdr:row>
      <xdr:rowOff>82550</xdr:rowOff>
    </xdr:from>
    <xdr:to>
      <xdr:col>0</xdr:col>
      <xdr:colOff>2009775</xdr:colOff>
      <xdr:row>17</xdr:row>
      <xdr:rowOff>63500</xdr:rowOff>
    </xdr:to>
    <xdr:sp macro="" textlink="">
      <xdr:nvSpPr>
        <xdr:cNvPr id="13" name="Retângulo: Cantos Arredondados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12171A4-FABD-4713-B660-E9463542B543}"/>
            </a:ext>
          </a:extLst>
        </xdr:cNvPr>
        <xdr:cNvSpPr/>
      </xdr:nvSpPr>
      <xdr:spPr>
        <a:xfrm>
          <a:off x="73025" y="3187700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TOTAIS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000" b="1" i="0" u="none" strike="noStrike" kern="0" cap="none" spc="0" normalizeH="0" baseline="0" noProof="0">
              <a:ln w="12700" cmpd="sng">
                <a:solidFill>
                  <a:srgbClr val="0F9ED5"/>
                </a:solidFill>
                <a:prstDash val="solid"/>
              </a:ln>
              <a:gradFill>
                <a:gsLst>
                  <a:gs pos="0">
                    <a:srgbClr val="0F9ED5"/>
                  </a:gs>
                  <a:gs pos="4000">
                    <a:srgbClr val="0F9ED5">
                      <a:lumMod val="60000"/>
                      <a:lumOff val="40000"/>
                    </a:srgbClr>
                  </a:gs>
                  <a:gs pos="87000">
                    <a:srgbClr val="0F9ED5">
                      <a:lumMod val="20000"/>
                      <a:lumOff val="80000"/>
                    </a:srgbClr>
                  </a:gs>
                </a:gsLst>
                <a:lin ang="5400000"/>
              </a:gra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TIGER IR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244475</xdr:colOff>
      <xdr:row>17</xdr:row>
      <xdr:rowOff>200025</xdr:rowOff>
    </xdr:from>
    <xdr:to>
      <xdr:col>0</xdr:col>
      <xdr:colOff>1819276</xdr:colOff>
      <xdr:row>20</xdr:row>
      <xdr:rowOff>19050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44475" y="37433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18</xdr:row>
      <xdr:rowOff>19050</xdr:rowOff>
    </xdr:from>
    <xdr:to>
      <xdr:col>0</xdr:col>
      <xdr:colOff>1809750</xdr:colOff>
      <xdr:row>18</xdr:row>
      <xdr:rowOff>19050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771900"/>
          <a:ext cx="15557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863600</xdr:colOff>
      <xdr:row>19</xdr:row>
      <xdr:rowOff>133350</xdr:rowOff>
    </xdr:from>
    <xdr:to>
      <xdr:col>0</xdr:col>
      <xdr:colOff>1208784</xdr:colOff>
      <xdr:row>21</xdr:row>
      <xdr:rowOff>44450</xdr:rowOff>
    </xdr:to>
    <xdr:pic>
      <xdr:nvPicPr>
        <xdr:cNvPr id="16" name="icon_link" descr="Linkedin White Icons – Free Download SVG, PNG, 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4095750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oneCell">
    <xdr:from>
      <xdr:col>0</xdr:col>
      <xdr:colOff>428625</xdr:colOff>
      <xdr:row>2</xdr:row>
      <xdr:rowOff>38100</xdr:rowOff>
    </xdr:from>
    <xdr:to>
      <xdr:col>0</xdr:col>
      <xdr:colOff>1628775</xdr:colOff>
      <xdr:row>7</xdr:row>
      <xdr:rowOff>133350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9455C76-0086-4177-A54F-00EA689F0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400050"/>
          <a:ext cx="1200150" cy="1200150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</xdr:colOff>
      <xdr:row>12</xdr:row>
      <xdr:rowOff>200025</xdr:rowOff>
    </xdr:from>
    <xdr:to>
      <xdr:col>0</xdr:col>
      <xdr:colOff>2000250</xdr:colOff>
      <xdr:row>14</xdr:row>
      <xdr:rowOff>180975</xdr:rowOff>
    </xdr:to>
    <xdr:sp macro="" textlink="">
      <xdr:nvSpPr>
        <xdr:cNvPr id="21" name="Retângulo: Cantos Arredondados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C469D93-3E69-4216-9BE7-B2445DA75CEA}"/>
            </a:ext>
          </a:extLst>
        </xdr:cNvPr>
        <xdr:cNvSpPr/>
      </xdr:nvSpPr>
      <xdr:spPr>
        <a:xfrm>
          <a:off x="66675" y="2695575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70C0">
                <a:shade val="30000"/>
                <a:satMod val="115000"/>
              </a:srgbClr>
            </a:gs>
            <a:gs pos="50000">
              <a:srgbClr val="0070C0">
                <a:shade val="67500"/>
                <a:satMod val="115000"/>
              </a:srgbClr>
            </a:gs>
            <a:gs pos="100000">
              <a:srgbClr val="0070C0">
                <a:shade val="100000"/>
                <a:satMod val="115000"/>
              </a:srgb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73025</xdr:colOff>
      <xdr:row>15</xdr:row>
      <xdr:rowOff>65088</xdr:rowOff>
    </xdr:from>
    <xdr:to>
      <xdr:col>0</xdr:col>
      <xdr:colOff>2009775</xdr:colOff>
      <xdr:row>17</xdr:row>
      <xdr:rowOff>46038</xdr:rowOff>
    </xdr:to>
    <xdr:sp macro="" textlink="">
      <xdr:nvSpPr>
        <xdr:cNvPr id="22" name="Retângulo: Cantos Arredondados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84133C9-7D20-424D-B9F3-654B5D421A55}"/>
            </a:ext>
          </a:extLst>
        </xdr:cNvPr>
        <xdr:cNvSpPr/>
      </xdr:nvSpPr>
      <xdr:spPr>
        <a:xfrm>
          <a:off x="73025" y="3189288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TOTAIS</a:t>
          </a:r>
        </a:p>
      </xdr:txBody>
    </xdr:sp>
    <xdr:clientData/>
  </xdr:twoCellAnchor>
  <xdr:twoCellAnchor editAs="absolute">
    <xdr:from>
      <xdr:col>4</xdr:col>
      <xdr:colOff>495300</xdr:colOff>
      <xdr:row>4</xdr:row>
      <xdr:rowOff>171450</xdr:rowOff>
    </xdr:from>
    <xdr:to>
      <xdr:col>5</xdr:col>
      <xdr:colOff>19050</xdr:colOff>
      <xdr:row>5</xdr:row>
      <xdr:rowOff>152400</xdr:rowOff>
    </xdr:to>
    <xdr:sp macro="" textlink="">
      <xdr:nvSpPr>
        <xdr:cNvPr id="24" name="Retângulo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2965C60-058B-45A4-A6F9-DE782339FFD2}"/>
            </a:ext>
          </a:extLst>
        </xdr:cNvPr>
        <xdr:cNvSpPr/>
      </xdr:nvSpPr>
      <xdr:spPr>
        <a:xfrm>
          <a:off x="6791325" y="1066800"/>
          <a:ext cx="1190625" cy="16192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PRÓXIMO -&gt; </a:t>
          </a:r>
          <a:endParaRPr lang="pt-BR" sz="10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F52AA4C-A83A-4B6B-B022-9409E1309736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000" b="1" i="0" u="none" strike="noStrike" kern="0" cap="none" spc="0" normalizeH="0" baseline="0" noProof="0">
              <a:ln w="12700" cmpd="sng">
                <a:solidFill>
                  <a:srgbClr val="0F9ED5"/>
                </a:solidFill>
                <a:prstDash val="solid"/>
              </a:ln>
              <a:gradFill>
                <a:gsLst>
                  <a:gs pos="0">
                    <a:srgbClr val="0F9ED5"/>
                  </a:gs>
                  <a:gs pos="4000">
                    <a:srgbClr val="0F9ED5">
                      <a:lumMod val="60000"/>
                      <a:lumOff val="40000"/>
                    </a:srgbClr>
                  </a:gs>
                  <a:gs pos="87000">
                    <a:srgbClr val="0F9ED5">
                      <a:lumMod val="20000"/>
                      <a:lumOff val="80000"/>
                    </a:srgbClr>
                  </a:gs>
                </a:gsLst>
                <a:lin ang="5400000"/>
              </a:gra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TIGER IR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921D85-0A23-4E93-8581-E298A691824A}"/>
            </a:ext>
          </a:extLst>
        </xdr:cNvPr>
        <xdr:cNvSpPr/>
      </xdr:nvSpPr>
      <xdr:spPr>
        <a:xfrm>
          <a:off x="82550" y="1647825"/>
          <a:ext cx="1933575" cy="3905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857A69-5742-4FF5-976D-5589F111BFB0}"/>
            </a:ext>
          </a:extLst>
        </xdr:cNvPr>
        <xdr:cNvSpPr/>
      </xdr:nvSpPr>
      <xdr:spPr>
        <a:xfrm>
          <a:off x="82550" y="216376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244475</xdr:colOff>
      <xdr:row>18</xdr:row>
      <xdr:rowOff>104775</xdr:rowOff>
    </xdr:from>
    <xdr:to>
      <xdr:col>0</xdr:col>
      <xdr:colOff>1819276</xdr:colOff>
      <xdr:row>21</xdr:row>
      <xdr:rowOff>9525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995D1F37-3C58-4E35-B724-8F9582A40242}"/>
            </a:ext>
          </a:extLst>
        </xdr:cNvPr>
        <xdr:cNvSpPr/>
      </xdr:nvSpPr>
      <xdr:spPr>
        <a:xfrm>
          <a:off x="244475" y="37433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18</xdr:row>
      <xdr:rowOff>133350</xdr:rowOff>
    </xdr:from>
    <xdr:to>
      <xdr:col>0</xdr:col>
      <xdr:colOff>1809750</xdr:colOff>
      <xdr:row>18</xdr:row>
      <xdr:rowOff>133350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5AED8A1E-9381-40DA-A026-02AE879A6086}"/>
            </a:ext>
          </a:extLst>
        </xdr:cNvPr>
        <xdr:cNvCxnSpPr/>
      </xdr:nvCxnSpPr>
      <xdr:spPr>
        <a:xfrm>
          <a:off x="254000" y="3771900"/>
          <a:ext cx="15557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863600</xdr:colOff>
      <xdr:row>20</xdr:row>
      <xdr:rowOff>95250</xdr:rowOff>
    </xdr:from>
    <xdr:to>
      <xdr:col>0</xdr:col>
      <xdr:colOff>1208784</xdr:colOff>
      <xdr:row>22</xdr:row>
      <xdr:rowOff>63500</xdr:rowOff>
    </xdr:to>
    <xdr:pic>
      <xdr:nvPicPr>
        <xdr:cNvPr id="8" name="icon_link" descr="Linkedin White Icons – Free Download SVG, PNG, 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9A67CA-403D-4413-8F3E-7448E27A7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4095750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2DFF88-47D6-4858-AEC0-1FE4A94720BC}"/>
            </a:ext>
          </a:extLst>
        </xdr:cNvPr>
        <xdr:cNvSpPr/>
      </xdr:nvSpPr>
      <xdr:spPr>
        <a:xfrm>
          <a:off x="2962275" y="1057275"/>
          <a:ext cx="1190625" cy="16192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oneCell">
    <xdr:from>
      <xdr:col>0</xdr:col>
      <xdr:colOff>428625</xdr:colOff>
      <xdr:row>2</xdr:row>
      <xdr:rowOff>38100</xdr:rowOff>
    </xdr:from>
    <xdr:to>
      <xdr:col>0</xdr:col>
      <xdr:colOff>1628775</xdr:colOff>
      <xdr:row>7</xdr:row>
      <xdr:rowOff>133350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2579F64-223D-48F5-B085-F4EA7CDAE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400050"/>
          <a:ext cx="1200150" cy="1200150"/>
        </a:xfrm>
        <a:prstGeom prst="rect">
          <a:avLst/>
        </a:prstGeom>
      </xdr:spPr>
    </xdr:pic>
    <xdr:clientData/>
  </xdr:twoCellAnchor>
  <xdr:twoCellAnchor>
    <xdr:from>
      <xdr:col>1</xdr:col>
      <xdr:colOff>666750</xdr:colOff>
      <xdr:row>14</xdr:row>
      <xdr:rowOff>152400</xdr:rowOff>
    </xdr:from>
    <xdr:to>
      <xdr:col>4</xdr:col>
      <xdr:colOff>1651200</xdr:colOff>
      <xdr:row>29</xdr:row>
      <xdr:rowOff>66675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47973737-B9AA-4E58-BC66-7B83A6E4E0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3225" y="3067050"/>
              <a:ext cx="50040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</xdr:col>
      <xdr:colOff>9525</xdr:colOff>
      <xdr:row>14</xdr:row>
      <xdr:rowOff>171450</xdr:rowOff>
    </xdr:from>
    <xdr:to>
      <xdr:col>5</xdr:col>
      <xdr:colOff>9525</xdr:colOff>
      <xdr:row>16</xdr:row>
      <xdr:rowOff>76200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12A66D9D-B460-4E1D-B291-0177D662F2A7}"/>
            </a:ext>
          </a:extLst>
        </xdr:cNvPr>
        <xdr:cNvSpPr/>
      </xdr:nvSpPr>
      <xdr:spPr>
        <a:xfrm>
          <a:off x="2971800" y="3086100"/>
          <a:ext cx="5000625" cy="26670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ENTRADAS</a:t>
          </a:r>
        </a:p>
      </xdr:txBody>
    </xdr:sp>
    <xdr:clientData/>
  </xdr:twoCellAnchor>
  <xdr:twoCellAnchor>
    <xdr:from>
      <xdr:col>1</xdr:col>
      <xdr:colOff>666748</xdr:colOff>
      <xdr:row>30</xdr:row>
      <xdr:rowOff>104775</xdr:rowOff>
    </xdr:from>
    <xdr:to>
      <xdr:col>4</xdr:col>
      <xdr:colOff>1657350</xdr:colOff>
      <xdr:row>45</xdr:row>
      <xdr:rowOff>133350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D6C2BC4B-9E1A-4BA8-B6E6-AAFC40844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0</xdr:col>
      <xdr:colOff>76200</xdr:colOff>
      <xdr:row>15</xdr:row>
      <xdr:rowOff>85725</xdr:rowOff>
    </xdr:from>
    <xdr:to>
      <xdr:col>0</xdr:col>
      <xdr:colOff>2009775</xdr:colOff>
      <xdr:row>17</xdr:row>
      <xdr:rowOff>123825</xdr:rowOff>
    </xdr:to>
    <xdr:sp macro="" textlink="">
      <xdr:nvSpPr>
        <xdr:cNvPr id="17" name="Retângulo: Cantos Arredondados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96CF2D1-79F4-4D9D-822C-4DDCDF42821C}"/>
            </a:ext>
          </a:extLst>
        </xdr:cNvPr>
        <xdr:cNvSpPr/>
      </xdr:nvSpPr>
      <xdr:spPr>
        <a:xfrm>
          <a:off x="76200" y="3181350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70C0">
                <a:shade val="30000"/>
                <a:satMod val="115000"/>
              </a:srgbClr>
            </a:gs>
            <a:gs pos="50000">
              <a:srgbClr val="0070C0">
                <a:shade val="67500"/>
                <a:satMod val="115000"/>
              </a:srgbClr>
            </a:gs>
            <a:gs pos="100000">
              <a:srgbClr val="0070C0">
                <a:shade val="100000"/>
                <a:satMod val="115000"/>
              </a:srgb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TOTAIS</a:t>
          </a:r>
        </a:p>
      </xdr:txBody>
    </xdr:sp>
    <xdr:clientData/>
  </xdr:twoCellAnchor>
  <xdr:twoCellAnchor editAs="absolute">
    <xdr:from>
      <xdr:col>0</xdr:col>
      <xdr:colOff>66675</xdr:colOff>
      <xdr:row>12</xdr:row>
      <xdr:rowOff>192088</xdr:rowOff>
    </xdr:from>
    <xdr:to>
      <xdr:col>0</xdr:col>
      <xdr:colOff>2003425</xdr:colOff>
      <xdr:row>14</xdr:row>
      <xdr:rowOff>173038</xdr:rowOff>
    </xdr:to>
    <xdr:sp macro="" textlink="">
      <xdr:nvSpPr>
        <xdr:cNvPr id="19" name="Retângulo: Cantos Arredondados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2C00F5-5DB5-452F-B804-8AB919829AB3}"/>
            </a:ext>
          </a:extLst>
        </xdr:cNvPr>
        <xdr:cNvSpPr/>
      </xdr:nvSpPr>
      <xdr:spPr>
        <a:xfrm>
          <a:off x="66675" y="2687638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0.0038</cdr:x>
      <cdr:y>0.00347</cdr:y>
    </cdr:from>
    <cdr:to>
      <cdr:x>1</cdr:x>
      <cdr:y>0.10069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12A66D9D-B460-4E1D-B291-0177D662F2A7}"/>
            </a:ext>
          </a:extLst>
        </cdr:cNvPr>
        <cdr:cNvSpPr/>
      </cdr:nvSpPr>
      <cdr:spPr>
        <a:xfrm xmlns:a="http://schemas.openxmlformats.org/drawingml/2006/main">
          <a:off x="19053" y="9525"/>
          <a:ext cx="5000625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75000"/>
            <a:lumOff val="2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400"/>
            <a:t>EVOLUÇÃO</a:t>
          </a:r>
          <a:r>
            <a:rPr lang="pt-BR" sz="1400" baseline="0"/>
            <a:t> | TEMPO</a:t>
          </a:r>
          <a:endParaRPr lang="pt-BR" sz="1400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8" dataDxfId="7">
  <autoFilter ref="C8:E35" xr:uid="{D0452CD4-D09D-4472-816A-A53383470A2F}"/>
  <tableColumns count="3">
    <tableColumn id="1" xr3:uid="{D31EA280-7853-409C-A8EE-1C6F5F94A34F}" name="DATA" dataDxfId="6"/>
    <tableColumn id="2" xr3:uid="{F34F7F55-794C-46B5-A546-FE1070EE20E7}" name="CATEGORIA" dataDxfId="5"/>
    <tableColumn id="3" xr3:uid="{9B7F950C-CEE2-4840-870F-46DA94161C69}" name="VALOR" dataDxfId="4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70691B-FC4A-4588-8264-1A752D095989}" name="Tabela4" displayName="Tabela4" ref="C8:E13" totalsRowShown="0" headerRowDxfId="3" tableBorderDxfId="2">
  <autoFilter ref="C8:E13" xr:uid="{1C70691B-FC4A-4588-8264-1A752D095989}"/>
  <tableColumns count="3">
    <tableColumn id="1" xr3:uid="{2B5B82CD-0890-41FD-9691-B4F6757DD9B4}" name="DATA"/>
    <tableColumn id="2" xr3:uid="{7930EE9F-74B1-4B57-A8C5-4B88E01B337F}" name="CATEGORIA" dataDxfId="1"/>
    <tableColumn id="3" xr3:uid="{CCFAE872-75CB-4FCC-A056-BBFCB46C32A6}" name="VALOR" dataDxfId="0">
      <calculatedColumnFormula>SUMIF(NOTAS!D8:D18,Tabela4[[#This Row],[CATEGORIA]],NOTAS!E8:E18)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6" sqref="D6"/>
    </sheetView>
  </sheetViews>
  <sheetFormatPr defaultRowHeight="14.25"/>
  <cols>
    <col min="1" max="1" width="29.875" style="1" customWidth="1"/>
    <col min="3" max="3" width="42.25" customWidth="1"/>
    <col min="4" max="4" width="43.25" customWidth="1"/>
  </cols>
  <sheetData>
    <row r="3" spans="3:5" ht="20.25" thickBot="1">
      <c r="C3" s="18" t="s">
        <v>14</v>
      </c>
      <c r="D3" s="18"/>
      <c r="E3" s="18"/>
    </row>
    <row r="4" spans="3:5" ht="21.95" customHeight="1" thickTop="1">
      <c r="C4" s="37" t="s">
        <v>15</v>
      </c>
      <c r="D4" s="37"/>
      <c r="E4" s="37"/>
    </row>
    <row r="6" spans="3:5" ht="16.5">
      <c r="C6" s="2" t="s">
        <v>0</v>
      </c>
      <c r="D6" s="7" t="s">
        <v>18</v>
      </c>
    </row>
    <row r="7" spans="3:5" ht="16.5">
      <c r="C7" s="2" t="s">
        <v>1</v>
      </c>
      <c r="D7" s="8">
        <v>12312312398</v>
      </c>
    </row>
    <row r="8" spans="3:5" ht="16.5">
      <c r="C8" s="2" t="s">
        <v>2</v>
      </c>
      <c r="D8" s="9">
        <v>34605</v>
      </c>
    </row>
    <row r="9" spans="3:5" ht="16.5">
      <c r="C9" s="2" t="s">
        <v>3</v>
      </c>
      <c r="D9" s="7">
        <v>31713388</v>
      </c>
    </row>
    <row r="10" spans="3:5" ht="16.5">
      <c r="C10" s="2" t="s">
        <v>4</v>
      </c>
      <c r="D10" s="7" t="s">
        <v>22</v>
      </c>
    </row>
    <row r="11" spans="3:5" ht="16.5">
      <c r="C11" s="2" t="s">
        <v>5</v>
      </c>
      <c r="D11" s="7" t="s">
        <v>21</v>
      </c>
    </row>
    <row r="12" spans="3:5" ht="16.5">
      <c r="C12" s="2" t="s">
        <v>6</v>
      </c>
      <c r="D12" s="7" t="s">
        <v>20</v>
      </c>
    </row>
    <row r="13" spans="3:5" ht="16.5">
      <c r="C13" s="2" t="s">
        <v>7</v>
      </c>
      <c r="D13" s="10">
        <v>987654321</v>
      </c>
    </row>
    <row r="14" spans="3:5" ht="16.5">
      <c r="C14" s="2" t="s">
        <v>8</v>
      </c>
      <c r="D14" s="11">
        <v>1131713388</v>
      </c>
    </row>
    <row r="15" spans="3:5" ht="16.5">
      <c r="C15" s="2" t="s">
        <v>9</v>
      </c>
      <c r="D15" s="12">
        <v>11931713388</v>
      </c>
    </row>
    <row r="16" spans="3:5" ht="16.5">
      <c r="C16" s="2" t="s">
        <v>10</v>
      </c>
      <c r="D16" s="13" t="s">
        <v>19</v>
      </c>
    </row>
    <row r="17" spans="3:4" ht="16.5">
      <c r="C17" s="2" t="s">
        <v>11</v>
      </c>
      <c r="D17" s="7" t="s">
        <v>16</v>
      </c>
    </row>
    <row r="18" spans="3:4" ht="16.5">
      <c r="C18" s="2" t="s">
        <v>12</v>
      </c>
      <c r="D18" s="7" t="s">
        <v>17</v>
      </c>
    </row>
    <row r="19" spans="3:4" ht="16.5">
      <c r="C19" s="2" t="s">
        <v>13</v>
      </c>
      <c r="D19" s="7" t="s">
        <v>17</v>
      </c>
    </row>
  </sheetData>
  <sheetProtection sheet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0" sqref="D10"/>
    </sheetView>
  </sheetViews>
  <sheetFormatPr defaultRowHeight="14.25"/>
  <cols>
    <col min="1" max="1" width="29.875" style="1" customWidth="1"/>
    <col min="3" max="3" width="42.25" customWidth="1"/>
    <col min="4" max="4" width="43.25" customWidth="1"/>
  </cols>
  <sheetData>
    <row r="3" spans="3:5" ht="20.25" thickBot="1">
      <c r="C3" s="18" t="s">
        <v>23</v>
      </c>
      <c r="D3" s="18"/>
      <c r="E3" s="18"/>
    </row>
    <row r="4" spans="3:5" ht="21.95" customHeight="1" thickTop="1">
      <c r="C4" s="38" t="s">
        <v>25</v>
      </c>
      <c r="D4" s="38"/>
      <c r="E4" s="38"/>
    </row>
    <row r="6" spans="3:5" ht="16.5">
      <c r="C6" s="5" t="s">
        <v>83</v>
      </c>
    </row>
    <row r="7" spans="3:5" ht="20.45" customHeight="1">
      <c r="C7" s="39">
        <f>SUM(D11,D16,D21)</f>
        <v>58377777</v>
      </c>
      <c r="D7" s="40"/>
    </row>
    <row r="9" spans="3:5">
      <c r="C9" s="4" t="s">
        <v>80</v>
      </c>
    </row>
    <row r="10" spans="3:5" ht="16.5">
      <c r="C10" s="2" t="s">
        <v>24</v>
      </c>
      <c r="D10" s="7" t="s">
        <v>49</v>
      </c>
    </row>
    <row r="11" spans="3:5" ht="16.5">
      <c r="C11" s="2" t="s">
        <v>26</v>
      </c>
      <c r="D11" s="14">
        <v>500000</v>
      </c>
    </row>
    <row r="12" spans="3:5" ht="16.5">
      <c r="C12" s="2" t="s">
        <v>27</v>
      </c>
      <c r="D12" s="7" t="s">
        <v>79</v>
      </c>
    </row>
    <row r="14" spans="3:5">
      <c r="C14" s="4" t="s">
        <v>81</v>
      </c>
    </row>
    <row r="15" spans="3:5" ht="16.5">
      <c r="C15" s="2" t="s">
        <v>24</v>
      </c>
      <c r="D15" s="7" t="s">
        <v>47</v>
      </c>
    </row>
    <row r="16" spans="3:5" ht="16.5">
      <c r="C16" s="2" t="s">
        <v>26</v>
      </c>
      <c r="D16" s="14">
        <v>1312312</v>
      </c>
    </row>
    <row r="17" spans="3:4" ht="16.5">
      <c r="C17" s="2" t="s">
        <v>27</v>
      </c>
      <c r="D17" s="7" t="s">
        <v>79</v>
      </c>
    </row>
    <row r="19" spans="3:4">
      <c r="C19" s="4" t="s">
        <v>82</v>
      </c>
    </row>
    <row r="20" spans="3:4" ht="16.5">
      <c r="C20" s="2" t="s">
        <v>24</v>
      </c>
      <c r="D20" s="7" t="s">
        <v>52</v>
      </c>
    </row>
    <row r="21" spans="3:4" ht="16.5">
      <c r="C21" s="2" t="s">
        <v>26</v>
      </c>
      <c r="D21" s="14">
        <v>56565465</v>
      </c>
    </row>
    <row r="22" spans="3:4" ht="16.5">
      <c r="C22" s="2" t="s">
        <v>27</v>
      </c>
      <c r="D22" s="7" t="s">
        <v>79</v>
      </c>
    </row>
  </sheetData>
  <sheetProtection sheet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workbookViewId="0">
      <selection activeCell="C9" sqref="C9"/>
    </sheetView>
  </sheetViews>
  <sheetFormatPr defaultRowHeight="14.25"/>
  <cols>
    <col min="1" max="1" width="29.875" style="1" customWidth="1"/>
    <col min="3" max="5" width="21.875" customWidth="1"/>
  </cols>
  <sheetData>
    <row r="3" spans="3:5" ht="20.25" thickBot="1">
      <c r="C3" s="18" t="s">
        <v>85</v>
      </c>
      <c r="D3" s="18"/>
      <c r="E3" s="18"/>
    </row>
    <row r="4" spans="3:5" ht="21.95" customHeight="1" thickTop="1">
      <c r="C4" s="38" t="s">
        <v>84</v>
      </c>
      <c r="D4" s="38"/>
      <c r="E4" s="38"/>
    </row>
    <row r="7" spans="3:5" ht="16.5">
      <c r="C7" s="41" t="s">
        <v>89</v>
      </c>
      <c r="D7" s="41"/>
      <c r="E7" s="41"/>
    </row>
    <row r="8" spans="3:5" ht="15">
      <c r="C8" s="6" t="s">
        <v>86</v>
      </c>
      <c r="D8" s="6" t="s">
        <v>87</v>
      </c>
      <c r="E8" s="6" t="s">
        <v>88</v>
      </c>
    </row>
    <row r="9" spans="3:5" ht="16.5">
      <c r="C9" s="15">
        <v>45775</v>
      </c>
      <c r="D9" s="16" t="s">
        <v>90</v>
      </c>
      <c r="E9" s="17">
        <v>3000</v>
      </c>
    </row>
    <row r="10" spans="3:5" ht="16.5">
      <c r="C10" s="15">
        <v>45805</v>
      </c>
      <c r="D10" s="16" t="s">
        <v>90</v>
      </c>
      <c r="E10" s="17">
        <v>3000</v>
      </c>
    </row>
    <row r="11" spans="3:5" ht="16.5">
      <c r="C11" s="15">
        <v>45836</v>
      </c>
      <c r="D11" s="16" t="s">
        <v>90</v>
      </c>
      <c r="E11" s="17">
        <v>3000</v>
      </c>
    </row>
    <row r="12" spans="3:5" ht="16.5">
      <c r="C12" s="15">
        <v>45866</v>
      </c>
      <c r="D12" s="16" t="s">
        <v>90</v>
      </c>
      <c r="E12" s="17">
        <v>3000</v>
      </c>
    </row>
    <row r="13" spans="3:5" ht="16.5">
      <c r="C13" s="15">
        <v>45897</v>
      </c>
      <c r="D13" s="16" t="s">
        <v>90</v>
      </c>
      <c r="E13" s="17">
        <v>3000</v>
      </c>
    </row>
    <row r="14" spans="3:5" ht="16.5">
      <c r="C14" s="15">
        <v>45928</v>
      </c>
      <c r="D14" s="16" t="s">
        <v>90</v>
      </c>
      <c r="E14" s="17">
        <v>3000</v>
      </c>
    </row>
    <row r="15" spans="3:5" ht="16.5">
      <c r="C15" s="15">
        <v>45958</v>
      </c>
      <c r="D15" s="16" t="s">
        <v>90</v>
      </c>
      <c r="E15" s="17">
        <v>3000</v>
      </c>
    </row>
    <row r="16" spans="3:5" ht="16.5">
      <c r="C16" s="15">
        <v>45989</v>
      </c>
      <c r="D16" s="16" t="s">
        <v>90</v>
      </c>
      <c r="E16" s="17">
        <v>3000</v>
      </c>
    </row>
    <row r="17" spans="3:5" ht="16.5">
      <c r="C17" s="15">
        <v>46019</v>
      </c>
      <c r="D17" s="16" t="s">
        <v>90</v>
      </c>
      <c r="E17" s="17">
        <v>3000</v>
      </c>
    </row>
    <row r="18" spans="3:5" ht="16.5">
      <c r="C18" s="15">
        <v>46019</v>
      </c>
      <c r="D18" s="16" t="s">
        <v>91</v>
      </c>
      <c r="E18" s="17">
        <v>5500</v>
      </c>
    </row>
    <row r="19" spans="3:5" ht="16.5">
      <c r="C19" s="19"/>
      <c r="D19" s="16"/>
      <c r="E19" s="17"/>
    </row>
    <row r="20" spans="3:5" ht="16.5">
      <c r="C20" s="16"/>
      <c r="D20" s="16"/>
      <c r="E20" s="17"/>
    </row>
    <row r="21" spans="3:5" ht="16.5">
      <c r="C21" s="16"/>
      <c r="D21" s="16"/>
      <c r="E21" s="17"/>
    </row>
    <row r="22" spans="3:5" ht="16.5">
      <c r="C22" s="16"/>
      <c r="D22" s="16"/>
      <c r="E22" s="17"/>
    </row>
    <row r="23" spans="3:5" ht="16.5">
      <c r="C23" s="16"/>
      <c r="D23" s="16"/>
      <c r="E23" s="17"/>
    </row>
    <row r="24" spans="3:5" ht="16.5">
      <c r="C24" s="16"/>
      <c r="D24" s="16"/>
      <c r="E24" s="17"/>
    </row>
    <row r="25" spans="3:5" ht="16.5">
      <c r="C25" s="16"/>
      <c r="D25" s="16"/>
      <c r="E25" s="17"/>
    </row>
    <row r="26" spans="3:5" ht="16.5">
      <c r="C26" s="16"/>
      <c r="D26" s="16"/>
      <c r="E26" s="17"/>
    </row>
    <row r="27" spans="3:5" ht="16.5">
      <c r="C27" s="16"/>
      <c r="D27" s="16"/>
      <c r="E27" s="17"/>
    </row>
    <row r="28" spans="3:5" ht="16.5">
      <c r="C28" s="16"/>
      <c r="D28" s="16"/>
      <c r="E28" s="17"/>
    </row>
    <row r="29" spans="3:5" ht="16.5">
      <c r="C29" s="16"/>
      <c r="D29" s="16"/>
      <c r="E29" s="17"/>
    </row>
    <row r="30" spans="3:5" ht="16.5">
      <c r="C30" s="16"/>
      <c r="D30" s="16"/>
      <c r="E30" s="17"/>
    </row>
    <row r="31" spans="3:5" ht="16.5">
      <c r="C31" s="16"/>
      <c r="D31" s="16"/>
      <c r="E31" s="17"/>
    </row>
    <row r="32" spans="3:5" ht="16.5">
      <c r="C32" s="16"/>
      <c r="D32" s="16"/>
      <c r="E32" s="17"/>
    </row>
    <row r="33" spans="3:5" ht="16.5">
      <c r="C33" s="16"/>
      <c r="D33" s="16"/>
      <c r="E33" s="17"/>
    </row>
    <row r="34" spans="3:5" ht="16.5">
      <c r="C34" s="16"/>
      <c r="D34" s="16"/>
      <c r="E34" s="17"/>
    </row>
    <row r="35" spans="3:5" ht="16.5">
      <c r="C35" s="16"/>
      <c r="D35" s="16"/>
      <c r="E35" s="17"/>
    </row>
  </sheetData>
  <sheetProtection sheet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9A35-7F2C-4B02-9638-C3BF698E6EAD}">
  <dimension ref="A3:E37"/>
  <sheetViews>
    <sheetView showGridLines="0" showRowColHeaders="0" tabSelected="1" zoomScaleNormal="100" workbookViewId="0">
      <selection activeCell="C1" sqref="C1"/>
    </sheetView>
  </sheetViews>
  <sheetFormatPr defaultRowHeight="14.25"/>
  <cols>
    <col min="1" max="1" width="29.875" style="1" customWidth="1"/>
    <col min="3" max="5" width="21.875" customWidth="1"/>
  </cols>
  <sheetData>
    <row r="3" spans="3:5" ht="20.25" thickBot="1">
      <c r="C3" s="18" t="s">
        <v>93</v>
      </c>
      <c r="D3" s="18"/>
      <c r="E3" s="18"/>
    </row>
    <row r="4" spans="3:5" ht="21.95" customHeight="1" thickTop="1">
      <c r="C4" s="38" t="s">
        <v>94</v>
      </c>
      <c r="D4" s="38"/>
      <c r="E4" s="38"/>
    </row>
    <row r="7" spans="3:5" ht="16.5">
      <c r="C7" s="41" t="s">
        <v>92</v>
      </c>
      <c r="D7" s="41"/>
      <c r="E7" s="41"/>
    </row>
    <row r="8" spans="3:5" ht="15">
      <c r="C8" s="30" t="s">
        <v>86</v>
      </c>
      <c r="D8" s="30" t="s">
        <v>87</v>
      </c>
      <c r="E8" s="30" t="s">
        <v>88</v>
      </c>
    </row>
    <row r="9" spans="3:5" ht="16.5">
      <c r="C9" s="21">
        <f>YEAR(Tabela1[[#This Row],[DATA]])</f>
        <v>2025</v>
      </c>
      <c r="D9" s="22" t="s">
        <v>90</v>
      </c>
      <c r="E9" s="33">
        <f>SUMIF(NOTAS!$D$8:$D$18,Tabela4[[#This Row],[CATEGORIA]],NOTAS!$E$8:$E$18)</f>
        <v>27000</v>
      </c>
    </row>
    <row r="10" spans="3:5" ht="16.5">
      <c r="C10" s="31">
        <f>YEAR(Tabela1[[#This Row],[DATA]])</f>
        <v>2025</v>
      </c>
      <c r="D10" s="25" t="s">
        <v>91</v>
      </c>
      <c r="E10" s="32">
        <f>SUMIF(NOTAS!$D$8:$D$18,Tabela4[[#This Row],[CATEGORIA]],NOTAS!$E$8:$E$18)</f>
        <v>5500</v>
      </c>
    </row>
    <row r="11" spans="3:5" ht="16.5">
      <c r="C11" s="27"/>
      <c r="D11" s="28"/>
      <c r="E11" s="23"/>
    </row>
    <row r="12" spans="3:5" ht="16.5">
      <c r="C12" s="24"/>
      <c r="D12" s="25"/>
      <c r="E12" s="26"/>
    </row>
    <row r="13" spans="3:5" ht="16.5">
      <c r="C13" s="34">
        <f>YEAR(Tabela1[[#This Row],[DATA]])</f>
        <v>2025</v>
      </c>
      <c r="D13" s="35"/>
      <c r="E13" s="36">
        <f>SUM(E9:E12)</f>
        <v>32500</v>
      </c>
    </row>
    <row r="14" spans="3:5" ht="16.5">
      <c r="C14" s="24"/>
      <c r="D14" s="25"/>
      <c r="E14" s="26"/>
    </row>
    <row r="15" spans="3:5">
      <c r="C15" s="29"/>
      <c r="D15" s="29"/>
      <c r="E15" s="29"/>
    </row>
    <row r="16" spans="3:5">
      <c r="C16" s="29"/>
      <c r="D16" s="29"/>
      <c r="E16" s="29"/>
    </row>
    <row r="17" spans="3:5">
      <c r="C17" s="29"/>
      <c r="D17" s="29"/>
      <c r="E17" s="29"/>
    </row>
    <row r="18" spans="3:5">
      <c r="C18" s="29"/>
      <c r="D18" s="29"/>
      <c r="E18" s="29"/>
    </row>
    <row r="19" spans="3:5">
      <c r="C19" s="29"/>
      <c r="D19" s="29"/>
      <c r="E19" s="29"/>
    </row>
    <row r="20" spans="3:5">
      <c r="C20" s="29"/>
      <c r="D20" s="29"/>
      <c r="E20" s="29"/>
    </row>
    <row r="21" spans="3:5">
      <c r="C21" s="29"/>
      <c r="D21" s="29"/>
      <c r="E21" s="29"/>
    </row>
    <row r="22" spans="3:5">
      <c r="C22" s="29"/>
      <c r="D22" s="29"/>
      <c r="E22" s="29"/>
    </row>
    <row r="23" spans="3:5">
      <c r="C23" s="29"/>
      <c r="D23" s="29"/>
      <c r="E23" s="29"/>
    </row>
    <row r="24" spans="3:5">
      <c r="C24" s="29"/>
      <c r="D24" s="29"/>
      <c r="E24" s="29"/>
    </row>
    <row r="25" spans="3:5">
      <c r="C25" s="29"/>
      <c r="D25" s="29"/>
      <c r="E25" s="29"/>
    </row>
    <row r="26" spans="3:5">
      <c r="C26" s="29"/>
      <c r="D26" s="29"/>
      <c r="E26" s="29"/>
    </row>
    <row r="27" spans="3:5">
      <c r="C27" s="20"/>
      <c r="D27" s="20"/>
      <c r="E27" s="20"/>
    </row>
    <row r="28" spans="3:5">
      <c r="C28" s="20"/>
      <c r="D28" s="20"/>
      <c r="E28" s="20"/>
    </row>
    <row r="29" spans="3:5">
      <c r="C29" s="20"/>
      <c r="D29" s="20"/>
      <c r="E29" s="20"/>
    </row>
    <row r="30" spans="3:5">
      <c r="C30" s="20"/>
      <c r="D30" s="20"/>
      <c r="E30" s="20"/>
    </row>
    <row r="31" spans="3:5">
      <c r="C31" s="20"/>
      <c r="D31" s="20"/>
      <c r="E31" s="20"/>
    </row>
    <row r="32" spans="3:5">
      <c r="C32" s="20"/>
      <c r="D32" s="20"/>
      <c r="E32" s="20"/>
    </row>
    <row r="33" spans="3:5">
      <c r="C33" s="20"/>
      <c r="D33" s="20"/>
      <c r="E33" s="20"/>
    </row>
    <row r="34" spans="3:5">
      <c r="C34" s="20"/>
      <c r="D34" s="20"/>
      <c r="E34" s="20"/>
    </row>
    <row r="35" spans="3:5">
      <c r="C35" s="20"/>
      <c r="D35" s="20"/>
      <c r="E35" s="20"/>
    </row>
    <row r="36" spans="3:5">
      <c r="C36" s="20"/>
      <c r="D36" s="20"/>
      <c r="E36" s="20"/>
    </row>
    <row r="37" spans="3:5">
      <c r="C37" s="20"/>
      <c r="D37" s="20"/>
      <c r="E37" s="20"/>
    </row>
  </sheetData>
  <sheetProtection sheet="1" selectLockedCells="1"/>
  <mergeCells count="2">
    <mergeCell ref="C4:E4"/>
    <mergeCell ref="C7:E7"/>
  </mergeCells>
  <dataValidations count="2">
    <dataValidation type="list" allowBlank="1" showInputMessage="1" showErrorMessage="1" sqref="D9:D10" xr:uid="{D5C810A4-D876-4663-B2D0-1F5132BFFB7C}">
      <formula1>"HOLERITE,CNPJ,FREELANCE"</formula1>
    </dataValidation>
    <dataValidation type="list" allowBlank="1" showDropDown="1" showInputMessage="1" showErrorMessage="1" sqref="D13 D14 D11 D12" xr:uid="{B12825A9-2371-4B95-BDC8-9E8F5507D330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25"/>
  <cols>
    <col min="1" max="1" width="37.125" bestFit="1" customWidth="1"/>
  </cols>
  <sheetData>
    <row r="1" spans="1:1">
      <c r="A1" s="3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0" spans="1:1">
      <c r="A10" t="s">
        <v>37</v>
      </c>
    </row>
    <row r="11" spans="1:1">
      <c r="A11" t="s">
        <v>38</v>
      </c>
    </row>
    <row r="12" spans="1:1">
      <c r="A12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52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  <row r="29" spans="1:1">
      <c r="A29" t="s">
        <v>56</v>
      </c>
    </row>
    <row r="30" spans="1:1">
      <c r="A30" t="s">
        <v>57</v>
      </c>
    </row>
    <row r="31" spans="1:1">
      <c r="A31" t="s">
        <v>58</v>
      </c>
    </row>
    <row r="32" spans="1:1">
      <c r="A32" t="s">
        <v>59</v>
      </c>
    </row>
    <row r="33" spans="1:1">
      <c r="A33" t="s">
        <v>60</v>
      </c>
    </row>
    <row r="34" spans="1:1">
      <c r="A34" t="s">
        <v>61</v>
      </c>
    </row>
    <row r="35" spans="1:1">
      <c r="A35" t="s">
        <v>62</v>
      </c>
    </row>
    <row r="36" spans="1:1">
      <c r="A36" t="s">
        <v>63</v>
      </c>
    </row>
    <row r="37" spans="1:1">
      <c r="A37" t="s">
        <v>64</v>
      </c>
    </row>
    <row r="38" spans="1:1">
      <c r="A38" t="s">
        <v>65</v>
      </c>
    </row>
    <row r="39" spans="1:1">
      <c r="A39" t="s">
        <v>66</v>
      </c>
    </row>
    <row r="40" spans="1:1">
      <c r="A40" t="s">
        <v>67</v>
      </c>
    </row>
    <row r="41" spans="1:1">
      <c r="A41" t="s">
        <v>68</v>
      </c>
    </row>
    <row r="42" spans="1:1">
      <c r="A42" t="s">
        <v>69</v>
      </c>
    </row>
    <row r="43" spans="1:1">
      <c r="A43" t="s">
        <v>70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110BB965-7522-4E9E-A8B7-1E1FB53D275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TOTAIS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Rodrigo Carvalho da Silva</cp:lastModifiedBy>
  <dcterms:created xsi:type="dcterms:W3CDTF">2025-04-28T13:43:30Z</dcterms:created>
  <dcterms:modified xsi:type="dcterms:W3CDTF">2026-02-12T18:54:39Z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